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d0f573779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l Plan" sheetId="1" r:id="Rfb54da6d33314e19"/>
    <x:sheet xmlns:r="http://schemas.openxmlformats.org/officeDocument/2006/relationships" name="Günlük Konular" sheetId="2" r:id="Rbefc0b486f3b481c"/>
    <x:sheet xmlns:r="http://schemas.openxmlformats.org/officeDocument/2006/relationships" name="Detaylı İçerik" sheetId="3" r:id="R233e947ed9a940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6">
    <x:font>
      <x:sz val="11"/>
      <x:name val="Carlito"/>
    </x:font>
    <x:font>
      <x:sz val="11"/>
      <x:color rgb="FF26374B"/>
      <x:name val="Arial"/>
    </x:font>
    <x:font>
      <x:b/>
      <x:sz val="16"/>
      <x:color rgb="FF20364D"/>
      <x:name val="Arial"/>
    </x:font>
    <x:font>
      <x:i/>
      <x:sz val="11"/>
      <x:color rgb="FF26374B"/>
      <x:name val="Arial"/>
    </x:font>
    <x:font>
      <x:b/>
      <x:sz val="11"/>
      <x:color rgb="FFFFFFFF"/>
      <x:name val="Arial"/>
    </x:font>
    <x:font>
      <x:b/>
      <x:sz val="11"/>
      <x:color rgb="FF2637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D"/>
      </x:patternFill>
    </x:fill>
    <x:fill>
      <x:patternFill patternType="solid">
        <x:fgColor rgb="FFF0F4F8"/>
      </x:patternFill>
    </x:fill>
    <x:fill>
      <x:patternFill patternType="solid">
        <x:fgColor rgb="FFE3EAF1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A6B5C4"/>
      </x:top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4" borderId="1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4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5" fillId="4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8890efce64bb5" /><Relationship Type="http://schemas.openxmlformats.org/officeDocument/2006/relationships/theme" Target="/xl/theme/theme1.xml" Id="R81e25d4fd1f44b92" /><Relationship Type="http://schemas.openxmlformats.org/officeDocument/2006/relationships/sharedStrings" Target="/xl/sharedStrings.xml" Id="Rf3840960aa30424b" /><Relationship Type="http://schemas.openxmlformats.org/officeDocument/2006/relationships/worksheet" Target="/xl/worksheets/sheet1.xml" Id="Rfb54da6d33314e19" /><Relationship Type="http://schemas.openxmlformats.org/officeDocument/2006/relationships/worksheet" Target="/xl/worksheets/sheet2.xml" Id="Rbefc0b486f3b481c" /><Relationship Type="http://schemas.openxmlformats.org/officeDocument/2006/relationships/worksheet" Target="/xl/worksheets/sheet3.xml" Id="R233e947ed9a940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64D"/>
  </x:sheetPr>
  <x:sheetViews>
    <x:sheetView showGridLines="0" workbookViewId="0"/>
  </x:sheetViews>
  <x:sheetFormatPr defaultRowHeight="15"/>
  <x:cols>
    <x:col min="1" max="1" width="7.78000020980835" hidden="0" customWidth="1"/>
    <x:col min="2" max="2" width="66.66999816894531" hidden="0" customWidth="1"/>
    <x:col min="3" max="3" width="12.779999732971191" hidden="0" customWidth="1"/>
    <x:col min="4" max="4" width="9.4399995803833" hidden="0" customWidth="1"/>
  </x:cols>
  <x:sheetData>
    <x:row r="1" ht="28" customHeight="1">
      <x:c r="A1" s="2"/>
      <x:c r="B1" s="2"/>
      <x:c r="C1" s="2"/>
      <x:c r="D1" s="2"/>
    </x:row>
    <x:row r="2" ht="36" customHeight="1">
      <x:c r="A2" s="3" t="str">
        <x:v>Mekatronik Alan Odaklı Eğitim Planı</x:v>
      </x:c>
      <x:c r="B2" s="2"/>
      <x:c r="C2" s="2"/>
      <x:c r="D2" s="2"/>
    </x:row>
    <x:row r="3" ht="28" customHeight="1">
      <x:c r="A3" s="4" t="str">
        <x:v>25 saat teorik eğitim. Laboratuvar ve yazılım uygulaması bulunmaz.</x:v>
      </x:c>
      <x:c r="B3" s="2"/>
      <x:c r="C3" s="2"/>
      <x:c r="D3" s="2"/>
    </x:row>
    <x:row r="4" ht="28" customHeight="1">
      <x:c r="A4" s="2"/>
      <x:c r="B4" s="2"/>
      <x:c r="C4" s="2"/>
      <x:c r="D4" s="2"/>
    </x:row>
    <x:row r="5" ht="32" customHeight="1">
      <x:c r="A5" s="8" t="str">
        <x:v>No.</x:v>
      </x:c>
      <x:c r="B5" s="8" t="str">
        <x:v>Eğitim Başlığı</x:v>
      </x:c>
      <x:c r="C5" s="8" t="str">
        <x:v>Süre (saat)</x:v>
      </x:c>
      <x:c r="D5" s="8" t="str">
        <x:v>Oran</x:v>
      </x:c>
    </x:row>
    <x:row r="6" ht="48" customHeight="1">
      <x:c r="A6" s="2" t="n">
        <x:v>1</x:v>
      </x:c>
      <x:c r="B6" s="9" t="str">
        <x:v>Elektrik Makineleri ve Aktüatörler</x:v>
      </x:c>
      <x:c r="C6" s="19" t="n">
        <x:f>SUM('Detaylı İçerik'!E6:E10)</x:f>
        <x:v>4</x:v>
      </x:c>
      <x:c r="D6" s="24" t="n">
        <x:f>C6/$C$10</x:f>
        <x:v>0.16</x:v>
      </x:c>
    </x:row>
    <x:row r="7" ht="48" customHeight="1">
      <x:c r="A7" s="2" t="n">
        <x:v>2</x:v>
      </x:c>
      <x:c r="B7" s="9" t="str">
        <x:v>Sistem Dinamiği ve Kontrol</x:v>
      </x:c>
      <x:c r="C7" s="19" t="n">
        <x:f>SUM('Detaylı İçerik'!E11:E19)</x:f>
        <x:v>10</x:v>
      </x:c>
      <x:c r="D7" s="24" t="n">
        <x:f>C7/$C$10</x:f>
        <x:v>0.4</x:v>
      </x:c>
    </x:row>
    <x:row r="8" ht="48" customHeight="1">
      <x:c r="A8" s="2" t="n">
        <x:v>3</x:v>
      </x:c>
      <x:c r="B8" s="9" t="str">
        <x:v>Servo Sistemler ve Elektrikli Tahrik Kontrolü</x:v>
      </x:c>
      <x:c r="C8" s="19" t="n">
        <x:f>SUM('Detaylı İçerik'!E20:E26)</x:f>
        <x:v>7</x:v>
      </x:c>
      <x:c r="D8" s="24" t="n">
        <x:f>C8/$C$10</x:f>
        <x:v>0.28</x:v>
      </x:c>
    </x:row>
    <x:row r="9" ht="48" customHeight="1">
      <x:c r="A9" s="2" t="n">
        <x:v>4</x:v>
      </x:c>
      <x:c r="B9" s="9" t="str">
        <x:v>Sensörler, Ölçüm ve Sistem Entegrasyonu</x:v>
      </x:c>
      <x:c r="C9" s="19" t="n">
        <x:f>SUM('Detaylı İçerik'!E27:E31)</x:f>
        <x:v>4</x:v>
      </x:c>
      <x:c r="D9" s="24" t="n">
        <x:f>C9/$C$10</x:f>
        <x:v>0.16</x:v>
      </x:c>
    </x:row>
    <x:row r="10" ht="28" customHeight="1">
      <x:c r="A10" s="14"/>
      <x:c r="B10" s="14" t="str">
        <x:v>TOPLAM</x:v>
      </x:c>
      <x:c r="C10" s="20" t="n">
        <x:f>SUM(C6:C9)</x:f>
        <x:v>25</x:v>
      </x:c>
      <x:c r="D10" s="25" t="n">
        <x:f>SUM(D6:D9)</x:f>
        <x:v>1</x:v>
      </x:c>
    </x:row>
    <x:row r="11" ht="28" customHeight="1">
      <x:c r="A11" s="2"/>
      <x:c r="B11" s="2"/>
      <x:c r="C11" s="2"/>
      <x:c r="D11" s="2"/>
    </x:row>
    <x:row r="12" ht="28" customHeight="1">
      <x:c r="A12" s="2"/>
      <x:c r="B12" s="2"/>
      <x:c r="C12" s="2"/>
      <x:c r="D12" s="2"/>
    </x:row>
    <x:row r="13" ht="32" customHeight="1">
      <x:c r="A13" s="8" t="str">
        <x:v>Gün</x:v>
      </x:c>
      <x:c r="B13" s="8" t="str">
        <x:v>Günlük İçerik</x:v>
      </x:c>
      <x:c r="C13" s="8" t="str">
        <x:v>Süre (saat)</x:v>
      </x:c>
      <x:c r="D13" s="2"/>
    </x:row>
    <x:row r="14" ht="52" customHeight="1">
      <x:c r="A14" s="2" t="n">
        <x:v>1</x:v>
      </x:c>
      <x:c r="B14" s="9" t="str">
        <x:v>Elektrik makineleri ve aktüatörler (4 saat) + modellemeye giriş (1 saat)</x:v>
      </x:c>
      <x:c r="C14" s="19" t="n">
        <x:f>'Günlük Konular'!E12</x:f>
        <x:v>5</x:v>
      </x:c>
      <x:c r="D14" s="2"/>
    </x:row>
    <x:row r="15" ht="52" customHeight="1">
      <x:c r="A15" s="2" t="n">
        <x:v>2</x:v>
      </x:c>
      <x:c r="B15" s="9" t="str">
        <x:v>Sistem dinamiği ve kontrol: modelleme, gösterimler, tanılama, PID ve kararlılık</x:v>
      </x:c>
      <x:c r="C15" s="19" t="n">
        <x:f>'Günlük Konular'!E19</x:f>
        <x:v>5</x:v>
      </x:c>
      <x:c r="D15" s="2"/>
    </x:row>
    <x:row r="16" ht="52" customHeight="1">
      <x:c r="A16" s="2" t="n">
        <x:v>3</x:v>
      </x:c>
      <x:c r="B16" s="9" t="str">
        <x:v>Kontrol: filtreler, modern/adaptif/ayrık kontrol (4 saat) + servo başlangıcı (1 saat)</x:v>
      </x:c>
      <x:c r="C16" s="19" t="n">
        <x:f>'Günlük Konular'!E27</x:f>
        <x:v>5</x:v>
      </x:c>
      <x:c r="D16" s="2"/>
    </x:row>
    <x:row r="17" ht="52" customHeight="1">
      <x:c r="A17" s="2" t="n">
        <x:v>4</x:v>
      </x:c>
      <x:c r="B17" s="9" t="str">
        <x:v>Servo sistemler: sürme, FOC, kontrol döngüleri, ayarlama ve kompanzasyon</x:v>
      </x:c>
      <x:c r="C17" s="19" t="n">
        <x:f>'Günlük Konular'!E34</x:f>
        <x:v>5</x:v>
      </x:c>
      <x:c r="D17" s="2"/>
    </x:row>
    <x:row r="18" ht="52" customHeight="1">
      <x:c r="A18" s="2" t="n">
        <x:v>5</x:v>
      </x:c>
      <x:c r="B18" s="9" t="str">
        <x:v>Servo: rezonans ve filtreler (1 saat) + sensörler, ölçüm ve entegrasyon (4 saat)</x:v>
      </x:c>
      <x:c r="C18" s="19" t="n">
        <x:f>'Günlük Konular'!E42</x:f>
        <x:v>5</x:v>
      </x:c>
      <x:c r="D18" s="2"/>
    </x:row>
    <x:row r="19" ht="28" customHeight="1">
      <x:c r="A19" s="14"/>
      <x:c r="B19" s="14" t="str">
        <x:v>TOPLAM</x:v>
      </x:c>
      <x:c r="C19" s="20" t="n">
        <x:f>SUM(C14:C18)</x:f>
        <x:v>25</x:v>
      </x:c>
      <x:c r="D19" s="2"/>
    </x:row>
    <x:row r="20" ht="28" customHeight="1">
      <x:c r="A20" s="2"/>
      <x:c r="B20" s="2"/>
      <x:c r="C20" s="2"/>
      <x:c r="D20" s="2"/>
    </x:row>
    <x:row r="21" ht="28" customHeight="1">
      <x:c r="A21" s="2" t="str">
        <x:v>Filtreler: LPF, HPF, notch, bant filtreleri, FIR/IIR ve diğer yaklaşımlar içeriktedir.</x:v>
      </x:c>
      <x:c r="B21" s="2"/>
      <x:c r="C21" s="2"/>
      <x:c r="D21" s="2"/>
    </x:row>
    <x:row r="22" ht="28" customHeight="1">
      <x:c r="A22" s="2" t="str">
        <x:v>Günlük sıralama, Detaylı İçerik sayfasındaki konu kodları ve sürelerle bağlantılıdır.</x:v>
      </x:c>
      <x:c r="B22" s="2"/>
      <x:c r="C22" s="2"/>
      <x:c r="D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21999979019165" hidden="0" customWidth="1"/>
    <x:col min="2" max="2" width="7.21999979019165" hidden="0" customWidth="1"/>
    <x:col min="3" max="3" width="37.779998779296875" hidden="0" customWidth="1"/>
    <x:col min="4" max="4" width="57.779998779296875" hidden="0" customWidth="1"/>
    <x:col min="5" max="5" width="12.779999732971191" hidden="0" customWidth="1"/>
  </x:cols>
  <x:sheetData>
    <x:row r="1" ht="28" customHeight="1">
      <x:c r="A1" s="2"/>
      <x:c r="B1" s="2"/>
      <x:c r="C1" s="2"/>
      <x:c r="D1" s="2"/>
      <x:c r="E1" s="2"/>
    </x:row>
    <x:row r="2" ht="36" customHeight="1">
      <x:c r="A2" s="3" t="str">
        <x:v>Gün Gün Eğitim Konuları</x:v>
      </x:c>
      <x:c r="B2" s="2"/>
      <x:c r="C2" s="2"/>
      <x:c r="D2" s="2"/>
      <x:c r="E2" s="2"/>
    </x:row>
    <x:row r="3" ht="28" customHeight="1">
      <x:c r="A3" s="4" t="str">
        <x:v>5 gün, günde 5 saat. Süreler net eğitim süresidir; molalar ayrıca planlanır.</x:v>
      </x:c>
      <x:c r="B3" s="2"/>
      <x:c r="C3" s="2"/>
      <x:c r="D3" s="2"/>
      <x:c r="E3" s="2"/>
    </x:row>
    <x:row r="4" ht="28" customHeight="1">
      <x:c r="A4" s="2"/>
      <x:c r="B4" s="2"/>
      <x:c r="C4" s="2"/>
      <x:c r="D4" s="2"/>
      <x:c r="E4" s="2"/>
    </x:row>
    <x:row r="5" ht="32" customHeight="1">
      <x:c r="A5" s="8" t="str">
        <x:v>Gün</x:v>
      </x:c>
      <x:c r="B5" s="8" t="str">
        <x:v>Sıra</x:v>
      </x:c>
      <x:c r="C5" s="8" t="str">
        <x:v>Eğitim Başlığı</x:v>
      </x:c>
      <x:c r="D5" s="8" t="str">
        <x:v>Konu / Oturum</x:v>
      </x:c>
      <x:c r="E5" s="8" t="str">
        <x:v>Süre (saat)</x:v>
      </x:c>
    </x:row>
    <x:row r="6" ht="52" customHeight="1">
      <x:c r="A6" s="11" t="n">
        <x:v>1</x:v>
      </x:c>
      <x:c r="B6" s="11" t="n">
        <x:v>1</x:v>
      </x:c>
      <x:c r="C6" s="10" t="str">
        <x:f>'Detaylı İçerik'!B6</x:f>
        <x:v>Elektrik Makineleri ve Aktüatörler</x:v>
      </x:c>
      <x:c r="D6" s="10" t="str">
        <x:f>'Detaylı İçerik'!C6</x:f>
        <x:v>Temel prensipler ve sınıflandırma</x:v>
      </x:c>
      <x:c r="E6" s="18" t="n">
        <x:f>'Detaylı İçerik'!E6</x:f>
        <x:v>0.5</x:v>
      </x:c>
    </x:row>
    <x:row r="7" ht="52" customHeight="1">
      <x:c r="A7" s="11" t="n">
        <x:v>1</x:v>
      </x:c>
      <x:c r="B7" s="11" t="n">
        <x:v>2</x:v>
      </x:c>
      <x:c r="C7" s="10" t="str">
        <x:f>'Detaylı İçerik'!B7</x:f>
        <x:v>Elektrik Makineleri ve Aktüatörler</x:v>
      </x:c>
      <x:c r="D7" s="10" t="str">
        <x:f>'Detaylı İçerik'!C7</x:f>
        <x:v>Elektrik makinelerinin yapısı</x:v>
      </x:c>
      <x:c r="E7" s="18" t="n">
        <x:f>'Detaylı İçerik'!E7</x:f>
        <x:v>1</x:v>
      </x:c>
    </x:row>
    <x:row r="8" ht="52" customHeight="1">
      <x:c r="A8" s="11" t="n">
        <x:v>1</x:v>
      </x:c>
      <x:c r="B8" s="11" t="n">
        <x:v>3</x:v>
      </x:c>
      <x:c r="C8" s="10" t="str">
        <x:f>'Detaylı İçerik'!B8</x:f>
        <x:v>Elektrik Makineleri ve Aktüatörler</x:v>
      </x:c>
      <x:c r="D8" s="10" t="str">
        <x:f>'Detaylı İçerik'!C8</x:f>
        <x:v>Elektriksel ve mekanik modeller</x:v>
      </x:c>
      <x:c r="E8" s="18" t="n">
        <x:f>'Detaylı İçerik'!E8</x:f>
        <x:v>1</x:v>
      </x:c>
    </x:row>
    <x:row r="9" ht="52" customHeight="1">
      <x:c r="A9" s="11" t="n">
        <x:v>1</x:v>
      </x:c>
      <x:c r="B9" s="11" t="n">
        <x:v>4</x:v>
      </x:c>
      <x:c r="C9" s="10" t="str">
        <x:f>'Detaylı İçerik'!B9</x:f>
        <x:v>Elektrik Makineleri ve Aktüatörler</x:v>
      </x:c>
      <x:c r="D9" s="10" t="str">
        <x:f>'Detaylı İçerik'!C9</x:f>
        <x:v>Aktüatörler ve hareket aktarımı</x:v>
      </x:c>
      <x:c r="E9" s="18" t="n">
        <x:f>'Detaylı İçerik'!E9</x:f>
        <x:v>0.75</x:v>
      </x:c>
    </x:row>
    <x:row r="10" ht="52" customHeight="1">
      <x:c r="A10" s="11" t="n">
        <x:v>1</x:v>
      </x:c>
      <x:c r="B10" s="11" t="n">
        <x:v>5</x:v>
      </x:c>
      <x:c r="C10" s="10" t="str">
        <x:f>'Detaylı İçerik'!B10</x:f>
        <x:v>Elektrik Makineleri ve Aktüatörler</x:v>
      </x:c>
      <x:c r="D10" s="10" t="str">
        <x:f>'Detaylı İçerik'!C10</x:f>
        <x:v>Karakteristikler ve seçim kriterleri</x:v>
      </x:c>
      <x:c r="E10" s="18" t="n">
        <x:f>'Detaylı İçerik'!E10</x:f>
        <x:v>0.75</x:v>
      </x:c>
    </x:row>
    <x:row r="11" ht="52" customHeight="1">
      <x:c r="A11" s="11" t="n">
        <x:v>1</x:v>
      </x:c>
      <x:c r="B11" s="11" t="n">
        <x:v>6</x:v>
      </x:c>
      <x:c r="C11" s="10" t="str">
        <x:f>'Detaylı İçerik'!B11</x:f>
        <x:v>Sistem Dinamiği ve Kontrol</x:v>
      </x:c>
      <x:c r="D11" s="10" t="str">
        <x:v>Dinamik sistemlerin modellenmesi – temel fiziksel modeller</x:v>
      </x:c>
      <x:c r="E11" s="18" t="n">
        <x:f>'Detaylı İçerik'!E11*(2/3)</x:f>
        <x:v>1</x:v>
      </x:c>
    </x:row>
    <x:row r="12" ht="28" customHeight="1">
      <x:c r="A12" s="14"/>
      <x:c r="B12" s="14"/>
      <x:c r="C12" s="14"/>
      <x:c r="D12" s="14" t="str">
        <x:v>1. GÜN TOPLAMI</x:v>
      </x:c>
      <x:c r="E12" s="20" t="n">
        <x:f>SUM(E6:E11)</x:f>
        <x:v>5</x:v>
      </x:c>
    </x:row>
    <x:row r="13" ht="28" customHeight="1">
      <x:c r="A13" s="2"/>
      <x:c r="B13" s="2"/>
      <x:c r="C13" s="2"/>
      <x:c r="D13" s="2"/>
      <x:c r="E13" s="19"/>
    </x:row>
    <x:row r="14" ht="52" customHeight="1">
      <x:c r="A14" s="2" t="n">
        <x:v>2</x:v>
      </x:c>
      <x:c r="B14" s="2" t="n">
        <x:v>1</x:v>
      </x:c>
      <x:c r="C14" s="9" t="str">
        <x:f>'Detaylı İçerik'!B11</x:f>
        <x:v>Sistem Dinamiği ve Kontrol</x:v>
      </x:c>
      <x:c r="D14" s="9" t="str">
        <x:v>Modelleme devamı – doğrusal olmayan etkiler ve doğrusallaştırma</x:v>
      </x:c>
      <x:c r="E14" s="19" t="n">
        <x:f>'Detaylı İçerik'!E11*(1/3)</x:f>
        <x:v>0.5</x:v>
      </x:c>
    </x:row>
    <x:row r="15" ht="52" customHeight="1">
      <x:c r="A15" s="2" t="n">
        <x:v>2</x:v>
      </x:c>
      <x:c r="B15" s="2" t="n">
        <x:v>2</x:v>
      </x:c>
      <x:c r="C15" s="9" t="str">
        <x:f>'Detaylı İçerik'!B12</x:f>
        <x:v>Sistem Dinamiği ve Kontrol</x:v>
      </x:c>
      <x:c r="D15" s="9" t="str">
        <x:f>'Detaylı İçerik'!C12</x:f>
        <x:v>Transfer fonksiyonları ve durum uzayı</x:v>
      </x:c>
      <x:c r="E15" s="19" t="n">
        <x:f>'Detaylı İçerik'!E12</x:f>
        <x:v>1</x:v>
      </x:c>
    </x:row>
    <x:row r="16" ht="52" customHeight="1">
      <x:c r="A16" s="2" t="n">
        <x:v>2</x:v>
      </x:c>
      <x:c r="B16" s="2" t="n">
        <x:v>3</x:v>
      </x:c>
      <x:c r="C16" s="9" t="str">
        <x:f>'Detaylı İçerik'!B13</x:f>
        <x:v>Sistem Dinamiği ve Kontrol</x:v>
      </x:c>
      <x:c r="D16" s="9" t="str">
        <x:f>'Detaylı İçerik'!C13</x:f>
        <x:v>Sistem tanılama ve frekans cevabı</x:v>
      </x:c>
      <x:c r="E16" s="19" t="n">
        <x:f>'Detaylı İçerik'!E13</x:f>
        <x:v>1</x:v>
      </x:c>
    </x:row>
    <x:row r="17" ht="52" customHeight="1">
      <x:c r="A17" s="2" t="n">
        <x:v>2</x:v>
      </x:c>
      <x:c r="B17" s="2" t="n">
        <x:v>4</x:v>
      </x:c>
      <x:c r="C17" s="9" t="str">
        <x:f>'Detaylı İçerik'!B14</x:f>
        <x:v>Sistem Dinamiği ve Kontrol</x:v>
      </x:c>
      <x:c r="D17" s="9" t="str">
        <x:f>'Detaylı İçerik'!C14</x:f>
        <x:v>PID ve temel kontrol yapıları</x:v>
      </x:c>
      <x:c r="E17" s="19" t="n">
        <x:f>'Detaylı İçerik'!E14</x:f>
        <x:v>1.5</x:v>
      </x:c>
    </x:row>
    <x:row r="18" ht="52" customHeight="1">
      <x:c r="A18" s="2" t="n">
        <x:v>2</x:v>
      </x:c>
      <x:c r="B18" s="2" t="n">
        <x:v>5</x:v>
      </x:c>
      <x:c r="C18" s="9" t="str">
        <x:f>'Detaylı İçerik'!B15</x:f>
        <x:v>Sistem Dinamiği ve Kontrol</x:v>
      </x:c>
      <x:c r="D18" s="9" t="str">
        <x:f>'Detaylı İçerik'!C15</x:f>
        <x:v>Kararlılık ve performans analizi</x:v>
      </x:c>
      <x:c r="E18" s="19" t="n">
        <x:f>'Detaylı İçerik'!E15</x:f>
        <x:v>1</x:v>
      </x:c>
    </x:row>
    <x:row r="19" ht="28" customHeight="1">
      <x:c r="A19" s="14"/>
      <x:c r="B19" s="14"/>
      <x:c r="C19" s="14"/>
      <x:c r="D19" s="14" t="str">
        <x:v>2. GÜN TOPLAMI</x:v>
      </x:c>
      <x:c r="E19" s="20" t="n">
        <x:f>SUM(E14:E18)</x:f>
        <x:v>5</x:v>
      </x:c>
    </x:row>
    <x:row r="20" ht="28" customHeight="1">
      <x:c r="A20" s="2"/>
      <x:c r="B20" s="2"/>
      <x:c r="C20" s="2"/>
      <x:c r="D20" s="2"/>
      <x:c r="E20" s="19"/>
    </x:row>
    <x:row r="21" ht="52" customHeight="1">
      <x:c r="A21" s="11" t="n">
        <x:v>3</x:v>
      </x:c>
      <x:c r="B21" s="11" t="n">
        <x:v>1</x:v>
      </x:c>
      <x:c r="C21" s="10" t="str">
        <x:f>'Detaylı İçerik'!B16</x:f>
        <x:v>Sistem Dinamiği ve Kontrol</x:v>
      </x:c>
      <x:c r="D21" s="10" t="str">
        <x:f>'Detaylı İçerik'!C16</x:f>
        <x:v>Kontrol sistemlerinde filtreler ve kompanzasyon</x:v>
      </x:c>
      <x:c r="E21" s="18" t="n">
        <x:f>'Detaylı İçerik'!E16</x:f>
        <x:v>1</x:v>
      </x:c>
    </x:row>
    <x:row r="22" ht="52" customHeight="1">
      <x:c r="A22" s="11" t="n">
        <x:v>3</x:v>
      </x:c>
      <x:c r="B22" s="11" t="n">
        <x:v>2</x:v>
      </x:c>
      <x:c r="C22" s="10" t="str">
        <x:f>'Detaylı İçerik'!B17</x:f>
        <x:v>Sistem Dinamiği ve Kontrol</x:v>
      </x:c>
      <x:c r="D22" s="10" t="str">
        <x:f>'Detaylı İçerik'!C17</x:f>
        <x:v>Modern kontrol yöntemlerine giriş</x:v>
      </x:c>
      <x:c r="E22" s="18" t="n">
        <x:f>'Detaylı İçerik'!E17</x:f>
        <x:v>1</x:v>
      </x:c>
    </x:row>
    <x:row r="23" ht="52" customHeight="1">
      <x:c r="A23" s="11" t="n">
        <x:v>3</x:v>
      </x:c>
      <x:c r="B23" s="11" t="n">
        <x:v>3</x:v>
      </x:c>
      <x:c r="C23" s="10" t="str">
        <x:f>'Detaylı İçerik'!B18</x:f>
        <x:v>Sistem Dinamiği ve Kontrol</x:v>
      </x:c>
      <x:c r="D23" s="10" t="str">
        <x:f>'Detaylı İçerik'!C18</x:f>
        <x:v>Adaptif ve robust kontrol yöntemlerine giriş</x:v>
      </x:c>
      <x:c r="E23" s="18" t="n">
        <x:f>'Detaylı İçerik'!E18</x:f>
        <x:v>1</x:v>
      </x:c>
    </x:row>
    <x:row r="24" ht="52" customHeight="1">
      <x:c r="A24" s="11" t="n">
        <x:v>3</x:v>
      </x:c>
      <x:c r="B24" s="11" t="n">
        <x:v>4</x:v>
      </x:c>
      <x:c r="C24" s="10" t="str">
        <x:f>'Detaylı İçerik'!B19</x:f>
        <x:v>Sistem Dinamiği ve Kontrol</x:v>
      </x:c>
      <x:c r="D24" s="10" t="str">
        <x:f>'Detaylı İçerik'!C19</x:f>
        <x:v>Ayrık zamanlı kontrol</x:v>
      </x:c>
      <x:c r="E24" s="18" t="n">
        <x:f>'Detaylı İçerik'!E19</x:f>
        <x:v>1</x:v>
      </x:c>
    </x:row>
    <x:row r="25" ht="52" customHeight="1">
      <x:c r="A25" s="11" t="n">
        <x:v>3</x:v>
      </x:c>
      <x:c r="B25" s="11" t="n">
        <x:v>5</x:v>
      </x:c>
      <x:c r="C25" s="10" t="str">
        <x:f>'Detaylı İçerik'!B20</x:f>
        <x:v>Servo Sistemler ve Elektrikli Tahrik Kontrolü</x:v>
      </x:c>
      <x:c r="D25" s="10" t="str">
        <x:f>'Detaylı İçerik'!C20</x:f>
        <x:v>Servo sistem mimarisi</x:v>
      </x:c>
      <x:c r="E25" s="18" t="n">
        <x:f>'Detaylı İçerik'!E20</x:f>
        <x:v>0.5</x:v>
      </x:c>
    </x:row>
    <x:row r="26" ht="52" customHeight="1">
      <x:c r="A26" s="11" t="n">
        <x:v>3</x:v>
      </x:c>
      <x:c r="B26" s="11" t="n">
        <x:v>6</x:v>
      </x:c>
      <x:c r="C26" s="10" t="str">
        <x:f>'Detaylı İçerik'!B21</x:f>
        <x:v>Servo Sistemler ve Elektrikli Tahrik Kontrolü</x:v>
      </x:c>
      <x:c r="D26" s="10" t="str">
        <x:v>Güç elektroniği ve motor sürme – inverter ve DC bara</x:v>
      </x:c>
      <x:c r="E26" s="18" t="n">
        <x:f>'Detaylı İçerik'!E21*(1/2)</x:f>
        <x:v>0.5</x:v>
      </x:c>
    </x:row>
    <x:row r="27" ht="28" customHeight="1">
      <x:c r="A27" s="14"/>
      <x:c r="B27" s="14"/>
      <x:c r="C27" s="14"/>
      <x:c r="D27" s="14" t="str">
        <x:v>3. GÜN TOPLAMI</x:v>
      </x:c>
      <x:c r="E27" s="20" t="n">
        <x:f>SUM(E21:E26)</x:f>
        <x:v>5</x:v>
      </x:c>
    </x:row>
    <x:row r="28" ht="28" customHeight="1">
      <x:c r="A28" s="2"/>
      <x:c r="B28" s="2"/>
      <x:c r="C28" s="2"/>
      <x:c r="D28" s="2"/>
      <x:c r="E28" s="19"/>
    </x:row>
    <x:row r="29" ht="52" customHeight="1">
      <x:c r="A29" s="2" t="n">
        <x:v>4</x:v>
      </x:c>
      <x:c r="B29" s="2" t="n">
        <x:v>1</x:v>
      </x:c>
      <x:c r="C29" s="9" t="str">
        <x:f>'Detaylı İçerik'!B21</x:f>
        <x:v>Servo Sistemler ve Elektrikli Tahrik Kontrolü</x:v>
      </x:c>
      <x:c r="D29" s="9" t="str">
        <x:v>Motor sürme devamı – PWM ve gerilim-akım sınırları</x:v>
      </x:c>
      <x:c r="E29" s="19" t="n">
        <x:f>'Detaylı İçerik'!E21*(1/2)</x:f>
        <x:v>0.5</x:v>
      </x:c>
    </x:row>
    <x:row r="30" ht="52" customHeight="1">
      <x:c r="A30" s="2" t="n">
        <x:v>4</x:v>
      </x:c>
      <x:c r="B30" s="2" t="n">
        <x:v>2</x:v>
      </x:c>
      <x:c r="C30" s="9" t="str">
        <x:f>'Detaylı İçerik'!B22</x:f>
        <x:v>Servo Sistemler ve Elektrikli Tahrik Kontrolü</x:v>
      </x:c>
      <x:c r="D30" s="9" t="str">
        <x:f>'Detaylı İçerik'!C22</x:f>
        <x:v>Alan yönlendirmeli kontrol</x:v>
      </x:c>
      <x:c r="E30" s="19" t="n">
        <x:f>'Detaylı İçerik'!E22</x:f>
        <x:v>1.5</x:v>
      </x:c>
    </x:row>
    <x:row r="31" ht="52" customHeight="1">
      <x:c r="A31" s="2" t="n">
        <x:v>4</x:v>
      </x:c>
      <x:c r="B31" s="2" t="n">
        <x:v>3</x:v>
      </x:c>
      <x:c r="C31" s="9" t="str">
        <x:f>'Detaylı İçerik'!B23</x:f>
        <x:v>Servo Sistemler ve Elektrikli Tahrik Kontrolü</x:v>
      </x:c>
      <x:c r="D31" s="9" t="str">
        <x:f>'Detaylı İçerik'!C23</x:f>
        <x:v>Akım, hız ve konum döngüleri</x:v>
      </x:c>
      <x:c r="E31" s="19" t="n">
        <x:f>'Detaylı İçerik'!E23</x:f>
        <x:v>1.5</x:v>
      </x:c>
    </x:row>
    <x:row r="32" ht="52" customHeight="1">
      <x:c r="A32" s="2" t="n">
        <x:v>4</x:v>
      </x:c>
      <x:c r="B32" s="2" t="n">
        <x:v>4</x:v>
      </x:c>
      <x:c r="C32" s="9" t="str">
        <x:f>'Detaylı İçerik'!B24</x:f>
        <x:v>Servo Sistemler ve Elektrikli Tahrik Kontrolü</x:v>
      </x:c>
      <x:c r="D32" s="9" t="str">
        <x:f>'Detaylı İçerik'!C24</x:f>
        <x:v>Döngü ayarlama ve bant genişliği</x:v>
      </x:c>
      <x:c r="E32" s="19" t="n">
        <x:f>'Detaylı İçerik'!E24</x:f>
        <x:v>1</x:v>
      </x:c>
    </x:row>
    <x:row r="33" ht="52" customHeight="1">
      <x:c r="A33" s="2" t="n">
        <x:v>4</x:v>
      </x:c>
      <x:c r="B33" s="2" t="n">
        <x:v>5</x:v>
      </x:c>
      <x:c r="C33" s="9" t="str">
        <x:f>'Detaylı İçerik'!B25</x:f>
        <x:v>Servo Sistemler ve Elektrikli Tahrik Kontrolü</x:v>
      </x:c>
      <x:c r="D33" s="9" t="str">
        <x:f>'Detaylı İçerik'!C25</x:f>
        <x:v>Bozucu etkiler ve kompanzasyon</x:v>
      </x:c>
      <x:c r="E33" s="19" t="n">
        <x:f>'Detaylı İçerik'!E25</x:f>
        <x:v>0.5</x:v>
      </x:c>
    </x:row>
    <x:row r="34" ht="28" customHeight="1">
      <x:c r="A34" s="14"/>
      <x:c r="B34" s="14"/>
      <x:c r="C34" s="14"/>
      <x:c r="D34" s="14" t="str">
        <x:v>4. GÜN TOPLAMI</x:v>
      </x:c>
      <x:c r="E34" s="20" t="n">
        <x:f>SUM(E29:E33)</x:f>
        <x:v>5</x:v>
      </x:c>
    </x:row>
    <x:row r="35" ht="28" customHeight="1">
      <x:c r="A35" s="2"/>
      <x:c r="B35" s="2"/>
      <x:c r="C35" s="2"/>
      <x:c r="D35" s="2"/>
      <x:c r="E35" s="19"/>
    </x:row>
    <x:row r="36" ht="52" customHeight="1">
      <x:c r="A36" s="11" t="n">
        <x:v>5</x:v>
      </x:c>
      <x:c r="B36" s="11" t="n">
        <x:v>1</x:v>
      </x:c>
      <x:c r="C36" s="10" t="str">
        <x:f>'Detaylı İçerik'!B26</x:f>
        <x:v>Servo Sistemler ve Elektrikli Tahrik Kontrolü</x:v>
      </x:c>
      <x:c r="D36" s="10" t="str">
        <x:f>'Detaylı İçerik'!C26</x:f>
        <x:v>Rezonans, titreşim ve filtre kullanımı</x:v>
      </x:c>
      <x:c r="E36" s="18" t="n">
        <x:f>'Detaylı İçerik'!E26</x:f>
        <x:v>1</x:v>
      </x:c>
    </x:row>
    <x:row r="37" ht="52" customHeight="1">
      <x:c r="A37" s="11" t="n">
        <x:v>5</x:v>
      </x:c>
      <x:c r="B37" s="11" t="n">
        <x:v>2</x:v>
      </x:c>
      <x:c r="C37" s="10" t="str">
        <x:f>'Detaylı İçerik'!B27</x:f>
        <x:v>Sensörler, Ölçüm ve Sistem Entegrasyonu</x:v>
      </x:c>
      <x:c r="D37" s="10" t="str">
        <x:f>'Detaylı İçerik'!C27</x:f>
        <x:v>Sensörler ve ölçüm prensipleri</x:v>
      </x:c>
      <x:c r="E37" s="18" t="n">
        <x:f>'Detaylı İçerik'!E27</x:f>
        <x:v>0.5</x:v>
      </x:c>
    </x:row>
    <x:row r="38" ht="52" customHeight="1">
      <x:c r="A38" s="11" t="n">
        <x:v>5</x:v>
      </x:c>
      <x:c r="B38" s="11" t="n">
        <x:v>3</x:v>
      </x:c>
      <x:c r="C38" s="10" t="str">
        <x:f>'Detaylı İçerik'!B28</x:f>
        <x:v>Sensörler, Ölçüm ve Sistem Entegrasyonu</x:v>
      </x:c>
      <x:c r="D38" s="10" t="str">
        <x:f>'Detaylı İçerik'!C28</x:f>
        <x:v>Encoder ve resolver</x:v>
      </x:c>
      <x:c r="E38" s="18" t="n">
        <x:f>'Detaylı İçerik'!E28</x:f>
        <x:v>0.75</x:v>
      </x:c>
    </x:row>
    <x:row r="39" ht="52" customHeight="1">
      <x:c r="A39" s="11" t="n">
        <x:v>5</x:v>
      </x:c>
      <x:c r="B39" s="11" t="n">
        <x:v>4</x:v>
      </x:c>
      <x:c r="C39" s="10" t="str">
        <x:f>'Detaylı İçerik'!B29</x:f>
        <x:v>Sensörler, Ölçüm ve Sistem Entegrasyonu</x:v>
      </x:c>
      <x:c r="D39" s="10" t="str">
        <x:f>'Detaylı İçerik'!C29</x:f>
        <x:v>Örnekleme ve sayısallaştırma</x:v>
      </x:c>
      <x:c r="E39" s="18" t="n">
        <x:f>'Detaylı İçerik'!E29</x:f>
        <x:v>0.5</x:v>
      </x:c>
    </x:row>
    <x:row r="40" ht="52" customHeight="1">
      <x:c r="A40" s="11" t="n">
        <x:v>5</x:v>
      </x:c>
      <x:c r="B40" s="11" t="n">
        <x:v>5</x:v>
      </x:c>
      <x:c r="C40" s="10" t="str">
        <x:f>'Detaylı İçerik'!B30</x:f>
        <x:v>Sensörler, Ölçüm ve Sistem Entegrasyonu</x:v>
      </x:c>
      <x:c r="D40" s="10" t="str">
        <x:f>'Detaylı İçerik'!C30</x:f>
        <x:v>Sinyal işleme ve filtreler</x:v>
      </x:c>
      <x:c r="E40" s="18" t="n">
        <x:f>'Detaylı İçerik'!E30</x:f>
        <x:v>1.5</x:v>
      </x:c>
    </x:row>
    <x:row r="41" ht="52" customHeight="1">
      <x:c r="A41" s="11" t="n">
        <x:v>5</x:v>
      </x:c>
      <x:c r="B41" s="11" t="n">
        <x:v>6</x:v>
      </x:c>
      <x:c r="C41" s="10" t="str">
        <x:f>'Detaylı İçerik'!B31</x:f>
        <x:v>Sensörler, Ölçüm ve Sistem Entegrasyonu</x:v>
      </x:c>
      <x:c r="D41" s="10" t="str">
        <x:f>'Detaylı İçerik'!C31</x:f>
        <x:v>Haberleşme ve sistem entegrasyonu</x:v>
      </x:c>
      <x:c r="E41" s="18" t="n">
        <x:f>'Detaylı İçerik'!E31</x:f>
        <x:v>0.75</x:v>
      </x:c>
    </x:row>
    <x:row r="42" ht="28" customHeight="1">
      <x:c r="A42" s="14"/>
      <x:c r="B42" s="14"/>
      <x:c r="C42" s="14"/>
      <x:c r="D42" s="14" t="str">
        <x:v>5. GÜN TOPLAMI</x:v>
      </x:c>
      <x:c r="E42" s="20" t="n">
        <x:f>SUM(E36:E41)</x:f>
        <x:v>5</x:v>
      </x:c>
    </x:row>
    <x:row r="43" ht="28" customHeight="1">
      <x:c r="A43" s="2"/>
      <x:c r="B43" s="2"/>
      <x:c r="C43" s="2"/>
      <x:c r="D43" s="2"/>
      <x:c r="E43" s="19"/>
    </x:row>
    <x:row r="44" ht="28" customHeight="1">
      <x:c r="A44" s="14"/>
      <x:c r="B44" s="14"/>
      <x:c r="C44" s="14"/>
      <x:c r="D44" s="14" t="str">
        <x:v>GENEL TOPLAM</x:v>
      </x:c>
      <x:c r="E44" s="20" t="n">
        <x:f>SUM(E12,E19,E27,E34,E42)</x:f>
        <x:v>25</x:v>
      </x:c>
    </x:row>
    <x:row r="45" ht="28" customHeight="1">
      <x:c r="A45" s="2"/>
      <x:c r="B45" s="2"/>
      <x:c r="C45" s="2"/>
      <x:c r="D45" s="2"/>
      <x:c r="E45" s="2"/>
    </x:row>
    <x:row r="46" ht="28" customHeight="1">
      <x:c r="A46" s="2"/>
      <x:c r="B46" s="2"/>
      <x:c r="C46" s="2"/>
      <x:c r="D46" s="2"/>
      <x:c r="E4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890000343322754" hidden="0" customWidth="1"/>
    <x:col min="2" max="2" width="33.33000183105469" hidden="0" customWidth="1"/>
    <x:col min="3" max="3" width="36.66999816894531" hidden="0" customWidth="1"/>
    <x:col min="4" max="4" width="64.44000244140625" hidden="0" customWidth="1"/>
    <x:col min="5" max="5" width="11.670000076293945" hidden="0" customWidth="1"/>
  </x:cols>
  <x:sheetData>
    <x:row r="1" ht="28" customHeight="1">
      <x:c r="A1" s="2"/>
      <x:c r="B1" s="2"/>
      <x:c r="C1" s="2"/>
      <x:c r="D1" s="2"/>
      <x:c r="E1" s="2"/>
    </x:row>
    <x:row r="2" ht="36" customHeight="1">
      <x:c r="A2" s="3" t="str">
        <x:v>Detaylı Eğitim İçeriği</x:v>
      </x:c>
      <x:c r="B2" s="2"/>
      <x:c r="C2" s="2"/>
      <x:c r="D2" s="2"/>
      <x:c r="E2" s="2"/>
    </x:row>
    <x:row r="3" ht="28" customHeight="1">
      <x:c r="A3" s="4" t="str">
        <x:v>Kaynak: Görüşmede belirlenen 25 saatlik teorik eğitim müfredatı.</x:v>
      </x:c>
      <x:c r="B3" s="2"/>
      <x:c r="C3" s="2"/>
      <x:c r="D3" s="2"/>
      <x:c r="E3" s="2"/>
    </x:row>
    <x:row r="4" ht="28" customHeight="1">
      <x:c r="A4" s="2"/>
      <x:c r="B4" s="2"/>
      <x:c r="C4" s="2"/>
      <x:c r="D4" s="2"/>
      <x:c r="E4" s="2"/>
    </x:row>
    <x:row r="5" ht="32" customHeight="1">
      <x:c r="A5" s="8" t="str">
        <x:v>Konu Kodu</x:v>
      </x:c>
      <x:c r="B5" s="8" t="str">
        <x:v>Eğitim Başlığı</x:v>
      </x:c>
      <x:c r="C5" s="8" t="str">
        <x:v>Alt Konu</x:v>
      </x:c>
      <x:c r="D5" s="8" t="str">
        <x:v>Kapsam</x:v>
      </x:c>
      <x:c r="E5" s="8" t="str">
        <x:v>Süre (saat)</x:v>
      </x:c>
    </x:row>
    <x:row r="6" ht="62" customHeight="1">
      <x:c r="A6" s="10" t="str">
        <x:v>1.1</x:v>
      </x:c>
      <x:c r="B6" s="10" t="str">
        <x:v>Elektrik Makineleri ve Aktüatörler</x:v>
      </x:c>
      <x:c r="C6" s="10" t="str">
        <x:v>Temel prensipler ve sınıflandırma</x:v>
      </x:c>
      <x:c r="D6" s="10" t="str">
        <x:v>Elektromekanik enerji dönüşümü, manyetik alan, tork-hız-güç ilişkisi, motor ve aktüatör türleri.</x:v>
      </x:c>
      <x:c r="E6" s="18" t="n">
        <x:v>0.5</x:v>
      </x:c>
    </x:row>
    <x:row r="7" ht="62" customHeight="1">
      <x:c r="A7" s="10" t="str">
        <x:v>1.2</x:v>
      </x:c>
      <x:c r="B7" s="10" t="str">
        <x:v>Elektrik Makineleri ve Aktüatörler</x:v>
      </x:c>
      <x:c r="C7" s="10" t="str">
        <x:v>Elektrik makinelerinin yapısı</x:v>
      </x:c>
      <x:c r="D7" s="10" t="str">
        <x:v>DC, BLDC ve PMSM motorların yapısı, komütasyon ve çalışma prensipleri. Asenkron ve adım motorlarına kısa giriş.</x:v>
      </x:c>
      <x:c r="E7" s="18" t="n">
        <x:v>1</x:v>
      </x:c>
    </x:row>
    <x:row r="8" ht="62" customHeight="1">
      <x:c r="A8" s="10" t="str">
        <x:v>1.3</x:v>
      </x:c>
      <x:c r="B8" s="10" t="str">
        <x:v>Elektrik Makineleri ve Aktüatörler</x:v>
      </x:c>
      <x:c r="C8" s="10" t="str">
        <x:v>Elektriksel ve mekanik modeller</x:v>
      </x:c>
      <x:c r="D8" s="10" t="str">
        <x:v>Direnç, endüktans, ters EMK, tork sabiti, atalet, sürtünme, yük torku ve temel motor denklemleri.</x:v>
      </x:c>
      <x:c r="E8" s="18" t="n">
        <x:v>1</x:v>
      </x:c>
    </x:row>
    <x:row r="9" ht="62" customHeight="1">
      <x:c r="A9" s="10" t="str">
        <x:v>1.4</x:v>
      </x:c>
      <x:c r="B9" s="10" t="str">
        <x:v>Elektrik Makineleri ve Aktüatörler</x:v>
      </x:c>
      <x:c r="C9" s="10" t="str">
        <x:v>Aktüatörler ve hareket aktarımı</x:v>
      </x:c>
      <x:c r="D9" s="10" t="str">
        <x:v>Döner ve doğrusal elektromekanik aktüatörler, redüktör, vidalı mil, doğrudan tahrik, yansıtılmış atalet ve verim.</x:v>
      </x:c>
      <x:c r="E9" s="18" t="n">
        <x:v>0.75</x:v>
      </x:c>
    </x:row>
    <x:row r="10" ht="62" customHeight="1">
      <x:c r="A10" s="10" t="str">
        <x:v>1.5</x:v>
      </x:c>
      <x:c r="B10" s="10" t="str">
        <x:v>Elektrik Makineleri ve Aktüatörler</x:v>
      </x:c>
      <x:c r="C10" s="10" t="str">
        <x:v>Karakteristikler ve seçim kriterleri</x:v>
      </x:c>
      <x:c r="D10" s="10" t="str">
        <x:v>Tork-hız ilişkisi, sürekli/tepe tork, görev çevrimi, RMS tork, termal sınırlar ve motor-sürücü uyumu.</x:v>
      </x:c>
      <x:c r="E10" s="18" t="n">
        <x:v>0.75</x:v>
      </x:c>
    </x:row>
    <x:row r="11" ht="62" customHeight="1">
      <x:c r="A11" s="9" t="str">
        <x:v>2.1</x:v>
      </x:c>
      <x:c r="B11" s="9" t="str">
        <x:v>Sistem Dinamiği ve Kontrol</x:v>
      </x:c>
      <x:c r="C11" s="9" t="str">
        <x:v>Dinamik sistemlerin modellenmesi</x:v>
      </x:c>
      <x:c r="D11" s="9" t="str">
        <x:v>Kütle-yay-sönüm ve dönel mekanik sistemler, elektriksel sistemler, elektromekanik bağlaşım, doğrusal olmayan etkiler ve doğrusallaştırma.</x:v>
      </x:c>
      <x:c r="E11" s="19" t="n">
        <x:v>1.5</x:v>
      </x:c>
    </x:row>
    <x:row r="12" ht="62" customHeight="1">
      <x:c r="A12" s="9" t="str">
        <x:v>2.2</x:v>
      </x:c>
      <x:c r="B12" s="9" t="str">
        <x:v>Sistem Dinamiği ve Kontrol</x:v>
      </x:c>
      <x:c r="C12" s="9" t="str">
        <x:v>Transfer fonksiyonları ve durum uzayı</x:v>
      </x:c>
      <x:c r="D12" s="9" t="str">
        <x:v>Laplace dönüşümünün rolü, kutup ve sıfırlar, sistem derecesi, durum değişkenleri ve giriş-çıkış ilişkileri.</x:v>
      </x:c>
      <x:c r="E12" s="19" t="n">
        <x:v>1</x:v>
      </x:c>
    </x:row>
    <x:row r="13" ht="62" customHeight="1">
      <x:c r="A13" s="9" t="str">
        <x:v>2.3</x:v>
      </x:c>
      <x:c r="B13" s="9" t="str">
        <x:v>Sistem Dinamiği ve Kontrol</x:v>
      </x:c>
      <x:c r="C13" s="9" t="str">
        <x:v>Sistem tanılama ve frekans cevabı</x:v>
      </x:c>
      <x:c r="D13" s="9" t="str">
        <x:v>Fiziksel ve ölçüme dayalı model, basamak yanıtı, frekans cevabı, Bode diyagramı ve model belirsizliği.</x:v>
      </x:c>
      <x:c r="E13" s="19" t="n">
        <x:v>1</x:v>
      </x:c>
    </x:row>
    <x:row r="14" ht="62" customHeight="1">
      <x:c r="A14" s="9" t="str">
        <x:v>2.4</x:v>
      </x:c>
      <x:c r="B14" s="9" t="str">
        <x:v>Sistem Dinamiği ve Kontrol</x:v>
      </x:c>
      <x:c r="C14" s="9" t="str">
        <x:v>PID ve temel kontrol yapıları</x:v>
      </x:c>
      <x:c r="D14" s="9" t="str">
        <x:v>P, PI, PD, PID etkileri ve ayarlama yaklaşımları. Türev filtreleme, doyum, integral yığılması, anti-windup, feedforward ve kaskat kontrol.</x:v>
      </x:c>
      <x:c r="E14" s="19" t="n">
        <x:v>1.5</x:v>
      </x:c>
    </x:row>
    <x:row r="15" ht="62" customHeight="1">
      <x:c r="A15" s="9" t="str">
        <x:v>2.5</x:v>
      </x:c>
      <x:c r="B15" s="9" t="str">
        <x:v>Sistem Dinamiği ve Kontrol</x:v>
      </x:c>
      <x:c r="C15" s="9" t="str">
        <x:v>Kararlılık ve performans analizi</x:v>
      </x:c>
      <x:c r="D15" s="9" t="str">
        <x:v>Geçici/kalıcı durum, yükselme ve yerleşme süresi, aşım, kalıcı durum hatası, kazanç/faz marjları ve bant genişliği.</x:v>
      </x:c>
      <x:c r="E15" s="19" t="n">
        <x:v>1</x:v>
      </x:c>
    </x:row>
    <x:row r="16" ht="62" customHeight="1">
      <x:c r="A16" s="9" t="str">
        <x:v>2.6</x:v>
      </x:c>
      <x:c r="B16" s="9" t="str">
        <x:v>Sistem Dinamiği ve Kontrol</x:v>
      </x:c>
      <x:c r="C16" s="9" t="str">
        <x:v>Kontrol sistemlerinde filtreler ve kompanzasyon</x:v>
      </x:c>
      <x:c r="D16" s="9" t="str">
        <x:v>LPF, HPF ve notch filtrelerin döngüye etkisi, filtre konumu, faz/gecikme, gürültü-bant genişliği ilişkisi. Faz ilerletici/geciktirici kompanzatörler.</x:v>
      </x:c>
      <x:c r="E16" s="19" t="n">
        <x:v>1</x:v>
      </x:c>
    </x:row>
    <x:row r="17" ht="62" customHeight="1">
      <x:c r="A17" s="9" t="str">
        <x:v>2.7</x:v>
      </x:c>
      <x:c r="B17" s="9" t="str">
        <x:v>Sistem Dinamiği ve Kontrol</x:v>
      </x:c>
      <x:c r="C17" s="9" t="str">
        <x:v>Modern kontrol yöntemlerine giriş</x:v>
      </x:c>
      <x:c r="D17" s="9" t="str">
        <x:v>Durum geri beslemesi, kutup yerleştirme, kontrol edilebilirlik, gözlenebilirlik ve gözleyici kavramı.</x:v>
      </x:c>
      <x:c r="E17" s="19" t="n">
        <x:v>1</x:v>
      </x:c>
    </x:row>
    <x:row r="18" ht="62" customHeight="1">
      <x:c r="A18" s="9" t="str">
        <x:v>2.8</x:v>
      </x:c>
      <x:c r="B18" s="9" t="str">
        <x:v>Sistem Dinamiği ve Kontrol</x:v>
      </x:c>
      <x:c r="C18" s="9" t="str">
        <x:v>Adaptif ve robust kontrol yöntemlerine giriş</x:v>
      </x:c>
      <x:c r="D18" s="9" t="str">
        <x:v>Parametre değişimi, model belirsizliği, MRAC temel yapısı, Lyapunov yaklaşımının mantığı ve robust kontrolün amacı.</x:v>
      </x:c>
      <x:c r="E18" s="19" t="n">
        <x:v>1</x:v>
      </x:c>
    </x:row>
    <x:row r="19" ht="62" customHeight="1">
      <x:c r="A19" s="9" t="str">
        <x:v>2.9</x:v>
      </x:c>
      <x:c r="B19" s="9" t="str">
        <x:v>Sistem Dinamiği ve Kontrol</x:v>
      </x:c>
      <x:c r="C19" s="9" t="str">
        <x:v>Ayrık zamanlı kontrol</x:v>
      </x:c>
      <x:c r="D19" s="9" t="str">
        <x:v>Örnekleme, sıfırıncı dereceden tutucu, sayısallaştırma, hesaplama gecikmesi ve ayrık sistemlerde kararlılık.</x:v>
      </x:c>
      <x:c r="E19" s="19" t="n">
        <x:v>1</x:v>
      </x:c>
    </x:row>
    <x:row r="20" ht="62" customHeight="1">
      <x:c r="A20" s="10" t="str">
        <x:v>3.1</x:v>
      </x:c>
      <x:c r="B20" s="10" t="str">
        <x:v>Servo Sistemler ve Elektrikli Tahrik Kontrolü</x:v>
      </x:c>
      <x:c r="C20" s="10" t="str">
        <x:v>Servo sistem mimarisi</x:v>
      </x:c>
      <x:c r="D20" s="10" t="str">
        <x:v>Motor, sürücü, güç kaynağı, mekanik yük ve geri besleme. Tork, hız ve konum kontrol modları.</x:v>
      </x:c>
      <x:c r="E20" s="18" t="n">
        <x:v>0.5</x:v>
      </x:c>
    </x:row>
    <x:row r="21" ht="62" customHeight="1">
      <x:c r="A21" s="10" t="str">
        <x:v>3.2</x:v>
      </x:c>
      <x:c r="B21" s="10" t="str">
        <x:v>Servo Sistemler ve Elektrikli Tahrik Kontrolü</x:v>
      </x:c>
      <x:c r="C21" s="10" t="str">
        <x:v>Güç elektroniği ve motor sürme</x:v>
      </x:c>
      <x:c r="D21" s="10" t="str">
        <x:v>İnverter ve DC bara, PWM prensipleri, anahtarlama, gerilim-akım sınırları.</x:v>
      </x:c>
      <x:c r="E21" s="18" t="n">
        <x:v>1</x:v>
      </x:c>
    </x:row>
    <x:row r="22" ht="62" customHeight="1">
      <x:c r="A22" s="10" t="str">
        <x:v>3.3</x:v>
      </x:c>
      <x:c r="B22" s="10" t="str">
        <x:v>Servo Sistemler ve Elektrikli Tahrik Kontrolü</x:v>
      </x:c>
      <x:c r="C22" s="10" t="str">
        <x:v>Alan yönlendirmeli kontrol</x:v>
      </x:c>
      <x:c r="D22" s="10" t="str">
        <x:v>Clarke/Park dönüşümlerinin mantığı, elektriksel açı, d-q modeli, akı ve tork üreten akım bileşenleri ve FOC temel yapısı.</x:v>
      </x:c>
      <x:c r="E22" s="18" t="n">
        <x:v>1.5</x:v>
      </x:c>
    </x:row>
    <x:row r="23" ht="62" customHeight="1">
      <x:c r="A23" s="10" t="str">
        <x:v>3.4</x:v>
      </x:c>
      <x:c r="B23" s="10" t="str">
        <x:v>Servo Sistemler ve Elektrikli Tahrik Kontrolü</x:v>
      </x:c>
      <x:c r="C23" s="10" t="str">
        <x:v>Akım, hız ve konum döngüleri</x:v>
      </x:c>
      <x:c r="D23" s="10" t="str">
        <x:v>İç içe kontrol yapısı, döngüler arası etkileşim, referans/geri besleme sinyalleri, tork ve hız sınırları.</x:v>
      </x:c>
      <x:c r="E23" s="18" t="n">
        <x:v>1.5</x:v>
      </x:c>
    </x:row>
    <x:row r="24" ht="62" customHeight="1">
      <x:c r="A24" s="10" t="str">
        <x:v>3.5</x:v>
      </x:c>
      <x:c r="B24" s="10" t="str">
        <x:v>Servo Sistemler ve Elektrikli Tahrik Kontrolü</x:v>
      </x:c>
      <x:c r="C24" s="10" t="str">
        <x:v>Döngü ayarlama ve bant genişliği</x:v>
      </x:c>
      <x:c r="D24" s="10" t="str">
        <x:v>İç döngüden dış döngüye ayarlama, bant genişliği ayrımı, yük ataleti ve gecikme etkileri.</x:v>
      </x:c>
      <x:c r="E24" s="18" t="n">
        <x:v>1</x:v>
      </x:c>
    </x:row>
    <x:row r="25" ht="62" customHeight="1">
      <x:c r="A25" s="10" t="str">
        <x:v>3.6</x:v>
      </x:c>
      <x:c r="B25" s="10" t="str">
        <x:v>Servo Sistemler ve Elektrikli Tahrik Kontrolü</x:v>
      </x:c>
      <x:c r="C25" s="10" t="str">
        <x:v>Bozucu etkiler ve kompanzasyon</x:v>
      </x:c>
      <x:c r="D25" s="10" t="str">
        <x:v>Yük torku, sürtünme, hız/ivme feedforward ve bozucu etki kestiriminin temel mantığı.</x:v>
      </x:c>
      <x:c r="E25" s="18" t="n">
        <x:v>0.5</x:v>
      </x:c>
    </x:row>
    <x:row r="26" ht="62" customHeight="1">
      <x:c r="A26" s="10" t="str">
        <x:v>3.7</x:v>
      </x:c>
      <x:c r="B26" s="10" t="str">
        <x:v>Servo Sistemler ve Elektrikli Tahrik Kontrolü</x:v>
      </x:c>
      <x:c r="C26" s="10" t="str">
        <x:v>Rezonans, titreşim ve filtre kullanımı</x:v>
      </x:c>
      <x:c r="D26" s="10" t="str">
        <x:v>Mekanik esneklik, rezonans/anti-rezonans, servo sistemde notch seçimi, merkez frekansı, genişlik ve bastırma derinliği.</x:v>
      </x:c>
      <x:c r="E26" s="18" t="n">
        <x:v>1</x:v>
      </x:c>
    </x:row>
    <x:row r="27" ht="62" customHeight="1">
      <x:c r="A27" s="9" t="str">
        <x:v>4.1</x:v>
      </x:c>
      <x:c r="B27" s="9" t="str">
        <x:v>Sensörler, Ölçüm ve Sistem Entegrasyonu</x:v>
      </x:c>
      <x:c r="C27" s="9" t="str">
        <x:v>Sensörler ve ölçüm prensipleri</x:v>
      </x:c>
      <x:c r="D27" s="9" t="str">
        <x:v>Konum, hız, akım, kuvvet, sıcaklık ölçümü. Doğruluk, hassasiyet, çözünürlük ve ölçüm aralığı.</x:v>
      </x:c>
      <x:c r="E27" s="19" t="n">
        <x:v>0.5</x:v>
      </x:c>
    </x:row>
    <x:row r="28" ht="62" customHeight="1">
      <x:c r="A28" s="9" t="str">
        <x:v>4.2</x:v>
      </x:c>
      <x:c r="B28" s="9" t="str">
        <x:v>Sensörler, Ölçüm ve Sistem Entegrasyonu</x:v>
      </x:c>
      <x:c r="C28" s="9" t="str">
        <x:v>Encoder ve resolver</x:v>
      </x:c>
      <x:c r="D28" s="9" t="str">
        <x:v>Artımlı/mutlak encoder, resolver prensibi, konumdan hız elde etme ve düşük hızda ölçüm sınırlamaları.</x:v>
      </x:c>
      <x:c r="E28" s="19" t="n">
        <x:v>0.75</x:v>
      </x:c>
    </x:row>
    <x:row r="29" ht="62" customHeight="1">
      <x:c r="A29" s="9" t="str">
        <x:v>4.3</x:v>
      </x:c>
      <x:c r="B29" s="9" t="str">
        <x:v>Sensörler, Ölçüm ve Sistem Entegrasyonu</x:v>
      </x:c>
      <x:c r="C29" s="9" t="str">
        <x:v>Örnekleme ve sayısallaştırma</x:v>
      </x:c>
      <x:c r="D29" s="9" t="str">
        <x:v>ADC, kuantalama, aliasing, örnekleme frekansı, zaman damgası ve ölçüm gecikmesi.</x:v>
      </x:c>
      <x:c r="E29" s="19" t="n">
        <x:v>0.5</x:v>
      </x:c>
    </x:row>
    <x:row r="30" ht="62" customHeight="1">
      <x:c r="A30" s="9" t="str">
        <x:v>4.4</x:v>
      </x:c>
      <x:c r="B30" s="9" t="str">
        <x:v>Sensörler, Ölçüm ve Sistem Entegrasyonu</x:v>
      </x:c>
      <x:c r="C30" s="9" t="str">
        <x:v>Sinyal işleme ve filtreler</x:v>
      </x:c>
      <x:c r="D30" s="9" t="str">
        <x:v>LPF, HPF, bant geçiren, bant durduran/notch, hareketli ortalama, FIR/IIR, Butterworth/Bessel, filtrelenmiş türev ve anti-aliasing.</x:v>
      </x:c>
      <x:c r="E30" s="19" t="n">
        <x:v>1.5</x:v>
      </x:c>
    </x:row>
    <x:row r="31" ht="62" customHeight="1">
      <x:c r="A31" s="9" t="str">
        <x:v>4.5</x:v>
      </x:c>
      <x:c r="B31" s="9" t="str">
        <x:v>Sensörler, Ölçüm ve Sistem Entegrasyonu</x:v>
      </x:c>
      <x:c r="C31" s="9" t="str">
        <x:v>Haberleşme ve sistem entegrasyonu</x:v>
      </x:c>
      <x:c r="D31" s="9" t="str">
        <x:v>CAN, EtherCAT ve seri arayüzler. Güncelleme hızı, senkronizasyon, gecikme ve veri geçerliliği.</x:v>
      </x:c>
      <x:c r="E31" s="19" t="n">
        <x:v>0.75</x:v>
      </x:c>
    </x:row>
    <x:row r="32" ht="28" customHeight="1">
      <x:c r="A32" s="14"/>
      <x:c r="B32" s="14"/>
      <x:c r="C32" s="14"/>
      <x:c r="D32" s="14" t="str">
        <x:v>TOPLAM</x:v>
      </x:c>
      <x:c r="E32" s="20" t="n">
        <x:f>SUM(E6:E31)</x:f>
        <x:v>25</x:v>
      </x:c>
    </x:row>
    <x:row r="33" ht="28" customHeight="1">
      <x:c r="A33" s="2"/>
      <x:c r="B33" s="2"/>
      <x:c r="C33" s="2"/>
      <x:c r="D33" s="2"/>
      <x:c r="E33" s="2"/>
    </x:row>
    <x:row r="34" ht="28" customHeight="1">
      <x:c r="A34" s="21" t="str">
        <x:v>Filtre konularının ayrıntılı kapsamı</x:v>
      </x:c>
      <x:c r="B34" s="2"/>
      <x:c r="C34" s="2"/>
      <x:c r="D34" s="2"/>
      <x:c r="E34" s="2"/>
    </x:row>
    <x:row r="35" ht="32" customHeight="1">
      <x:c r="A35" s="8" t="str">
        <x:v>No.</x:v>
      </x:c>
      <x:c r="B35" s="8" t="str">
        <x:v>Filtre / Yaklaşım</x:v>
      </x:c>
      <x:c r="C35" s="8" t="str">
        <x:v>Anlatım Bölümü</x:v>
      </x:c>
      <x:c r="D35" s="8" t="str">
        <x:v>Kapsam</x:v>
      </x:c>
      <x:c r="E35" s="2" t="str"/>
    </x:row>
    <x:row r="36" ht="56" customHeight="1">
      <x:c r="A36" s="10" t="n">
        <x:v>1</x:v>
      </x:c>
      <x:c r="B36" s="10" t="str">
        <x:v>Alçak geçiren (LPF)</x:v>
      </x:c>
      <x:c r="C36" s="10" t="str">
        <x:v>Kontrol / Ölçüm</x:v>
      </x:c>
      <x:c r="D36" s="10" t="str">
        <x:v>Kesim frekansı, filtre derecesi, zayıflatma eğimi, yüksek frekanslı gürültü ve faz etkisi.</x:v>
      </x:c>
      <x:c r="E36" s="2"/>
    </x:row>
    <x:row r="37" ht="56" customHeight="1">
      <x:c r="A37" s="9" t="n">
        <x:v>2</x:v>
      </x:c>
      <x:c r="B37" s="9" t="str">
        <x:v>Yüksek geçiren (HPF)</x:v>
      </x:c>
      <x:c r="C37" s="9" t="str">
        <x:v>Kontrol / Ölçüm</x:v>
      </x:c>
      <x:c r="D37" s="9" t="str">
        <x:v>DC/ofset ve düşük frekanslı bileşenleri bastırma, yararlı düşük frekanslı bilgiye etkisi.</x:v>
      </x:c>
      <x:c r="E37" s="2"/>
    </x:row>
    <x:row r="38" ht="56" customHeight="1">
      <x:c r="A38" s="10" t="n">
        <x:v>3</x:v>
      </x:c>
      <x:c r="B38" s="10" t="str">
        <x:v>Bant geçiren</x:v>
      </x:c>
      <x:c r="C38" s="10" t="str">
        <x:v>Ölçüm</x:v>
      </x:c>
      <x:c r="D38" s="10" t="str">
        <x:v>Belirli frekans aralığını seçme, alt/üst kesim frekansları ve bant genişliği.</x:v>
      </x:c>
      <x:c r="E38" s="2"/>
    </x:row>
    <x:row r="39" ht="56" customHeight="1">
      <x:c r="A39" s="9" t="n">
        <x:v>4</x:v>
      </x:c>
      <x:c r="B39" s="9" t="str">
        <x:v>Bant durduran / Notch</x:v>
      </x:c>
      <x:c r="C39" s="9" t="str">
        <x:v>Kontrol / Servo / Ölçüm</x:v>
      </x:c>
      <x:c r="D39" s="9" t="str">
        <x:v>Merkez frekansı, bant genişliği, kalite faktörü, bastırma derinliği ve rezonans üzerindeki etki.</x:v>
      </x:c>
      <x:c r="E39" s="2"/>
    </x:row>
    <x:row r="40" ht="56" customHeight="1">
      <x:c r="A40" s="10" t="n">
        <x:v>5</x:v>
      </x:c>
      <x:c r="B40" s="10" t="str">
        <x:v>Hareketli ortalama</x:v>
      </x:c>
      <x:c r="C40" s="10" t="str">
        <x:v>Ölçüm</x:v>
      </x:c>
      <x:c r="D40" s="10" t="str">
        <x:v>Pencere uzunluğu, yumuşatma, gecikme ve frekans cevabı.</x:v>
      </x:c>
      <x:c r="E40" s="2"/>
    </x:row>
    <x:row r="41" ht="56" customHeight="1">
      <x:c r="A41" s="9" t="n">
        <x:v>6</x:v>
      </x:c>
      <x:c r="B41" s="9" t="str">
        <x:v>FIR ve IIR</x:v>
      </x:c>
      <x:c r="C41" s="9" t="str">
        <x:v>Ölçüm</x:v>
      </x:c>
      <x:c r="D41" s="9" t="str">
        <x:v>Filtre yapıları, hesaplama yükü, kararlılık ve faz özellikleri.</x:v>
      </x:c>
      <x:c r="E41" s="2"/>
    </x:row>
    <x:row r="42" ht="56" customHeight="1">
      <x:c r="A42" s="10" t="n">
        <x:v>7</x:v>
      </x:c>
      <x:c r="B42" s="10" t="str">
        <x:v>Butterworth ve Bessel</x:v>
      </x:c>
      <x:c r="C42" s="10" t="str">
        <x:v>Ölçüm</x:v>
      </x:c>
      <x:c r="D42" s="10" t="str">
        <x:v>Genlik düzlüğü, faz ve grup gecikmesi özelliklerinin karşılaştırılması.</x:v>
      </x:c>
      <x:c r="E42" s="2"/>
    </x:row>
    <x:row r="43" ht="56" customHeight="1">
      <x:c r="A43" s="9" t="n">
        <x:v>8</x:v>
      </x:c>
      <x:c r="B43" s="9" t="str">
        <x:v>Filtrelenmiş türev</x:v>
      </x:c>
      <x:c r="C43" s="9" t="str">
        <x:v>Kontrol / Ölçüm</x:v>
      </x:c>
      <x:c r="D43" s="9" t="str">
        <x:v>Konumdan hız ve hızdan ivme elde etme, türev işleminin gürültüye duyarlılığı.</x:v>
      </x:c>
      <x:c r="E43" s="2"/>
    </x:row>
    <x:row r="44" ht="56" customHeight="1">
      <x:c r="A44" s="10" t="n">
        <x:v>9</x:v>
      </x:c>
      <x:c r="B44" s="10" t="str">
        <x:v>Anti-aliasing</x:v>
      </x:c>
      <x:c r="C44" s="10" t="str">
        <x:v>Ölçüm</x:v>
      </x:c>
      <x:c r="D44" s="10" t="str">
        <x:v>Örnekleme öncesi analog filtreleme, sayısal filtrelemeden farkı.</x:v>
      </x:c>
      <x:c r="E44" s="2"/>
    </x:row>
    <x:row r="45" ht="56" customHeight="1">
      <x:c r="A45" s="9" t="n">
        <x:v>10</x:v>
      </x:c>
      <x:c r="B45" s="9" t="str">
        <x:v>Faz ilerletici / geciktirici</x:v>
      </x:c>
      <x:c r="C45" s="9" t="str">
        <x:v>Kontrol</x:v>
      </x:c>
      <x:c r="D45" s="9" t="str">
        <x:v>Kompanzatörlerin kazanç/faz üzerindeki etkisi ve kontrol tasarımındaki rolü.</x:v>
      </x:c>
      <x:c r="E45" s="2"/>
    </x:row>
    <x:row r="46" ht="28" customHeight="1">
      <x:c r="A46" s="2"/>
      <x:c r="B46" s="2"/>
      <x:c r="C46" s="2"/>
      <x:c r="D46" s="2"/>
      <x:c r="E46" s="2"/>
    </x:row>
    <x:row r="47" ht="28" customHeight="1">
      <x:c r="A47" s="2" t="str">
        <x:v>Filtre kapsamı, yukarıdaki ilgili ders sürelerine dahildir. Ek eğitim süresi değildir.</x:v>
      </x:c>
      <x:c r="B47" s="2"/>
      <x:c r="C47" s="2"/>
      <x:c r="D47" s="2"/>
      <x:c r="E47" s="2"/>
    </x:row>
    <x:row r="48" ht="28" customHeight="1">
      <x:c r="A48" s="2" t="str">
        <x:v>Modern, adaptif ve robust kontrol başlıkları kavramsal giriş düzeyindedir.</x:v>
      </x:c>
      <x:c r="B48" s="2"/>
      <x:c r="C48" s="2"/>
      <x:c r="D48" s="2"/>
      <x:c r="E48" s="2"/>
    </x:row>
    <x:row r="49" ht="28" customHeight="1">
      <x:c r="A49" s="2"/>
      <x:c r="B49" s="2"/>
      <x:c r="C49" s="2"/>
      <x:c r="D49" s="2"/>
      <x:c r="E49" s="2"/>
    </x:row>
    <x:row r="50" ht="28" customHeight="1">
      <x:c r="A50" s="2"/>
      <x:c r="B50" s="2"/>
      <x:c r="C50" s="2"/>
      <x:c r="D50" s="2"/>
      <x:c r="E50" s="2"/>
    </x:row>
    <x:row r="51" ht="28" customHeight="1">
      <x:c r="A51" s="2"/>
      <x:c r="B51" s="2"/>
      <x:c r="C51" s="2"/>
      <x:c r="D51" s="2"/>
      <x:c r="E51" s="2"/>
    </x:row>
    <x:row r="52" ht="28" customHeight="1">
      <x:c r="A52" s="2"/>
      <x:c r="B52" s="2"/>
      <x:c r="C52" s="2"/>
      <x:c r="D52" s="2"/>
      <x:c r="E52" s="2"/>
    </x:row>
    <x:row r="53" ht="28" customHeight="1">
      <x:c r="A53" s="2"/>
      <x:c r="B53" s="2"/>
      <x:c r="C53" s="2"/>
      <x:c r="D53" s="2"/>
      <x:c r="E53" s="2"/>
    </x:row>
  </x:sheetData>
  <x:pageMargins left="0.7" right="0.7" top="0.75" bottom="0.75" header="0.3" footer="0.3"/>
</x:worksheet>
</file>